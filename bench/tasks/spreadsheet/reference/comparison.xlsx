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<sst xmlns="http://schemas.openxmlformats.org/spreadsheetml/2006/main" count="21" uniqueCount="19">
  <si>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Item</t>
  </si>
  <si>
    <t xml:space="preserve">RouteLoom</t>
  </si>
  <si>
    <t xml:space="preserve">Pathwise</t>
  </si>
  <si>
    <t xml:space="preserve">Source</t>
  </si>
  <si>
    <t xml:space="preserve">Annual subscription (EUR)</t>
  </si>
  <si>
    <t xml:space="preserve">03-vendor-quotes.md</t>
  </si>
  <si>
    <t xml:space="preserve">One-time integration (EUR)</t>
  </si>
  <si>
    <t xml:space="preserve">Contract years</t>
  </si>
  <si>
    <t xml:space="preserve">Three-year cost (EUR)</t>
  </si>
  <si>
    <t xml:space="preserve">subscription x years + one-time</t>
  </si>
  <si>
    <t xml:space="preserve">Pathwise minus RouteLoom over three years (EUR)</t>
  </si>
  <si>
    <t xml:space="preserve"/>
  </si>
  <si>
    <t xml:space="preserve">negative: Pathwise is cheaper</t>
  </si>
  <si>
    <t xml:space="preserve">Estimated annual labour saving (EUR)</t>
  </si>
  <si>
    <t xml:space="preserve">01-pilot-report.md, extrapolated from the RouteLoom pilot</t>
  </si>
  <si>
    <t xml:space="preserve">Net annual saving (EUR)</t>
  </si>
  <si>
    <t xml:space="preserve">saving - subscription</t>
  </si>
  <si>
    <t xml:space="preserve">Payback on one-time cost (months)</t>
  </si>
  <si>
    <t xml:space="preserve">CFO limit: 18 months (05-steering-minutes.md)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</si>
</sst>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214000</v>
      </c>
      <c r="C2" s="0" t="n">
        <v>176000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38000</v>
      </c>
      <c r="C3" s="0" t="n">
        <v>95000</v>
      </c>
      <c r="D3" s="0" t="s">
        <v>5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n">
        <v>3</v>
      </c>
      <c r="D4" s="0" t="s">
        <v>5</v>
      </c>
    </row>
    <row r="5" customFormat="false" ht="12.8" hidden="false" customHeight="false" outlineLevel="0" collapsed="false">
      <c r="A5" s="0" t="s">
        <v>8</v>
      </c>
      <c r="B5" s="0" t="n">
        <f aca="false">B2*B4+B3</f>
        <v>680000</v>
      </c>
      <c r="C5" s="0" t="n">
        <f aca="false">C2*C4+C3</f>
        <v>623000</v>
      </c>
      <c r="D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n">
        <f aca="false">C5-B5</f>
        <v>-57000</v>
      </c>
      <c r="D6" s="0" t="s">
        <v>12</v>
      </c>
    </row>
    <row r="7" customFormat="false" ht="12.8" hidden="false" customHeight="false" outlineLevel="0" collapsed="false">
      <c r="A7" s="0" t="s">
        <v>13</v>
      </c>
      <c r="B7" s="0" t="n">
        <v>312000</v>
      </c>
      <c r="C7" s="0" t="n">
        <v>312000</v>
      </c>
      <c r="D7" s="0" t="s">
        <v>14</v>
      </c>
    </row>
    <row r="8" customFormat="false" ht="12.8" hidden="false" customHeight="false" outlineLevel="0" collapsed="false">
      <c r="A8" s="0" t="s">
        <v>15</v>
      </c>
      <c r="B8" s="0" t="n">
        <f aca="false">B7-B2</f>
        <v>98000</v>
      </c>
      <c r="C8" s="0" t="n">
        <f aca="false">C7-C2</f>
        <v>136000</v>
      </c>
      <c r="D8" s="0" t="s">
        <v>16</v>
      </c>
    </row>
    <row r="9" customFormat="false" ht="12.8" hidden="false" customHeight="false" outlineLevel="0" collapsed="false">
      <c r="A9" s="0" t="s">
        <v>17</v>
      </c>
      <c r="B9" s="0" t="n">
        <f aca="false">B3/B8*12</f>
        <v>4.6530612244898</v>
      </c>
      <c r="C9" s="0" t="n">
        <f aca="false">C3/C8*12</f>
        <v>8.38235294117647</v>
      </c>
      <c r="D9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